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14ed677b2b9daa6/Documents/NUS/b3m/"/>
    </mc:Choice>
  </mc:AlternateContent>
  <xr:revisionPtr revIDLastSave="172" documentId="8_{1165E018-AF16-4AF6-B3D6-4D3A76DDADBA}" xr6:coauthVersionLast="47" xr6:coauthVersionMax="47" xr10:uidLastSave="{C374F839-3F5B-4FB3-81D2-5DC73F7EBEDE}"/>
  <bookViews>
    <workbookView xWindow="-98" yWindow="-98" windowWidth="19396" windowHeight="11475" xr2:uid="{D93F7666-A15E-4CFC-9D5B-B910369D1BD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11" i="1"/>
  <c r="H4" i="1"/>
  <c r="H3" i="1"/>
  <c r="B7" i="1"/>
  <c r="C7" i="1" s="1"/>
  <c r="B6" i="1"/>
  <c r="B5" i="1"/>
  <c r="B4" i="1"/>
  <c r="B3" i="1"/>
  <c r="C3" i="1" s="1"/>
  <c r="E7" i="1"/>
  <c r="E6" i="1"/>
  <c r="E5" i="1"/>
  <c r="E4" i="1"/>
  <c r="E3" i="1"/>
  <c r="C6" i="1"/>
  <c r="C5" i="1"/>
  <c r="C4" i="1" l="1"/>
</calcChain>
</file>

<file path=xl/sharedStrings.xml><?xml version="1.0" encoding="utf-8"?>
<sst xmlns="http://schemas.openxmlformats.org/spreadsheetml/2006/main" count="33" uniqueCount="14">
  <si>
    <t>North facing façade</t>
  </si>
  <si>
    <t>Overhang depth</t>
  </si>
  <si>
    <t>Cooling demand (kWh)</t>
  </si>
  <si>
    <t>Baseline</t>
  </si>
  <si>
    <t>Notes</t>
  </si>
  <si>
    <t>Cooling demand comes from Cooling:EnergyTransfer output meter in Eplus</t>
  </si>
  <si>
    <t>% Change</t>
  </si>
  <si>
    <t>Coating</t>
  </si>
  <si>
    <t>LAI</t>
  </si>
  <si>
    <t>Cooling demand</t>
  </si>
  <si>
    <t>Height of Plants (m)</t>
  </si>
  <si>
    <t>South facing façade</t>
  </si>
  <si>
    <t>All facades</t>
  </si>
  <si>
    <t>Only include green roof in building level analysis, doesn't make sense as per façade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</si>
</sst>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2" xfId="0" applyBorder="1"/>
    <xf numFmtId="0" fontId="1" fillId="0" borderId="2" xfId="0" applyFont="1" applyBorder="1"/>
    <xf numFmtId="0" fontId="0" fillId="0" borderId="5" xfId="0" applyBorder="1"/>
    <xf numFmtId="0" fontId="0" fillId="0" borderId="5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7" xfId="0" applyFont="1" applyBorder="1"/>
    <xf numFmtId="0" fontId="0" fillId="0" borderId="8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4" borderId="2" xfId="0" applyFont="1" applyFill="1" applyBorder="1"/>
    <xf numFmtId="0" fontId="0" fillId="4" borderId="5" xfId="0" applyFill="1" applyBorder="1"/>
    <xf numFmtId="0" fontId="0" fillId="4" borderId="0" xfId="0" applyFill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5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4B229-28D8-4EC9-B071-99690BEB9EF1}">
  <dimension ref="A1:J23"/>
  <sheetViews>
    <sheetView tabSelected="1" workbookViewId="0">
      <selection activeCell="L16" sqref="L16"/>
    </sheetView>
  </sheetViews>
  <sheetFormatPr defaultRowHeight="14.25" x14ac:dyDescent="0.45"/>
  <cols>
    <col min="1" max="1" width="13.9296875" bestFit="1" customWidth="1"/>
    <col min="2" max="2" width="20.06640625" bestFit="1" customWidth="1"/>
    <col min="3" max="3" width="11" bestFit="1" customWidth="1"/>
    <col min="5" max="5" width="20.06640625" bestFit="1" customWidth="1"/>
    <col min="6" max="6" width="4.86328125" customWidth="1"/>
    <col min="7" max="7" width="17.265625" bestFit="1" customWidth="1"/>
    <col min="8" max="8" width="14.46484375" bestFit="1" customWidth="1"/>
  </cols>
  <sheetData>
    <row r="1" spans="1:10" x14ac:dyDescent="0.45">
      <c r="A1" s="17" t="s">
        <v>0</v>
      </c>
      <c r="B1" s="18"/>
      <c r="C1" s="18"/>
      <c r="D1" s="18"/>
      <c r="E1" s="18"/>
      <c r="F1" s="18"/>
      <c r="G1" s="18"/>
      <c r="H1" s="19"/>
      <c r="J1" t="s">
        <v>4</v>
      </c>
    </row>
    <row r="2" spans="1:10" x14ac:dyDescent="0.45">
      <c r="A2" s="9" t="s">
        <v>1</v>
      </c>
      <c r="B2" s="1" t="s">
        <v>2</v>
      </c>
      <c r="C2" s="3" t="s">
        <v>6</v>
      </c>
      <c r="D2" s="2" t="s">
        <v>7</v>
      </c>
      <c r="E2" s="4" t="s">
        <v>2</v>
      </c>
      <c r="F2" s="21" t="s">
        <v>8</v>
      </c>
      <c r="G2" s="21" t="s">
        <v>10</v>
      </c>
      <c r="H2" s="22" t="s">
        <v>9</v>
      </c>
      <c r="J2" t="s">
        <v>5</v>
      </c>
    </row>
    <row r="3" spans="1:10" x14ac:dyDescent="0.45">
      <c r="A3" s="10" t="s">
        <v>3</v>
      </c>
      <c r="B3" s="5">
        <f>18394.84/3</f>
        <v>6131.6133333333337</v>
      </c>
      <c r="C3" s="6">
        <f>(B3-B3)/B3*100</f>
        <v>0</v>
      </c>
      <c r="D3" s="5">
        <v>0.7</v>
      </c>
      <c r="E3" s="6">
        <f>18390.69/3</f>
        <v>6130.23</v>
      </c>
      <c r="F3" s="23">
        <v>3</v>
      </c>
      <c r="G3" s="23">
        <v>0.15</v>
      </c>
      <c r="H3" s="24">
        <f>17633.4/3</f>
        <v>5877.8</v>
      </c>
      <c r="J3" t="s">
        <v>13</v>
      </c>
    </row>
    <row r="4" spans="1:10" x14ac:dyDescent="0.45">
      <c r="A4" s="10">
        <v>0.25</v>
      </c>
      <c r="B4" s="5">
        <f>18394.53/3</f>
        <v>6131.5099999999993</v>
      </c>
      <c r="C4" s="6">
        <f>(B4-B3)/B3*100</f>
        <v>-1.6852552128919231E-3</v>
      </c>
      <c r="D4" s="5">
        <v>0.5</v>
      </c>
      <c r="E4" s="6">
        <f>18206.91/3</f>
        <v>6068.97</v>
      </c>
      <c r="F4" s="23">
        <v>1.5</v>
      </c>
      <c r="G4" s="23">
        <v>1</v>
      </c>
      <c r="H4" s="24">
        <f>17729.89/3</f>
        <v>5909.9633333333331</v>
      </c>
    </row>
    <row r="5" spans="1:10" x14ac:dyDescent="0.45">
      <c r="A5" s="11">
        <v>0.5</v>
      </c>
      <c r="B5" s="7">
        <f>18390.69/3</f>
        <v>6130.23</v>
      </c>
      <c r="C5" s="8">
        <f>(B5-B3)/B3*100</f>
        <v>-2.2560674623983489E-2</v>
      </c>
      <c r="D5" s="5">
        <v>0.4</v>
      </c>
      <c r="E5" s="6">
        <f>18106.56/3</f>
        <v>6035.52</v>
      </c>
      <c r="F5" s="23"/>
      <c r="G5" s="23"/>
      <c r="H5" s="24"/>
    </row>
    <row r="6" spans="1:10" x14ac:dyDescent="0.45">
      <c r="A6" s="10">
        <v>0.75</v>
      </c>
      <c r="B6" s="5">
        <f>18385.95/3</f>
        <v>6128.6500000000005</v>
      </c>
      <c r="C6" s="6">
        <f>(B6-B3)/B3*100</f>
        <v>-4.8328770459538747E-2</v>
      </c>
      <c r="D6" s="5">
        <v>0.3</v>
      </c>
      <c r="E6" s="6">
        <f>17998.66/3</f>
        <v>5999.5533333333333</v>
      </c>
      <c r="F6" s="23"/>
      <c r="G6" s="23"/>
      <c r="H6" s="24"/>
    </row>
    <row r="7" spans="1:10" x14ac:dyDescent="0.45">
      <c r="A7" s="12">
        <v>1</v>
      </c>
      <c r="B7" s="13">
        <f>18381.29/3</f>
        <v>6127.0966666666673</v>
      </c>
      <c r="C7" s="14">
        <f>(B7-B3)/B3*100</f>
        <v>-7.3661961724044739E-2</v>
      </c>
      <c r="D7" s="15">
        <v>0.2</v>
      </c>
      <c r="E7" s="16">
        <f>17881.14/3</f>
        <v>5960.38</v>
      </c>
      <c r="F7" s="25"/>
      <c r="G7" s="25"/>
      <c r="H7" s="26"/>
    </row>
    <row r="9" spans="1:10" x14ac:dyDescent="0.45">
      <c r="A9" s="17" t="s">
        <v>11</v>
      </c>
      <c r="B9" s="18"/>
      <c r="C9" s="18"/>
      <c r="D9" s="18"/>
      <c r="E9" s="18"/>
      <c r="F9" s="18"/>
      <c r="G9" s="18"/>
      <c r="H9" s="19"/>
    </row>
    <row r="10" spans="1:10" x14ac:dyDescent="0.45">
      <c r="A10" s="9" t="s">
        <v>1</v>
      </c>
      <c r="B10" s="1" t="s">
        <v>2</v>
      </c>
      <c r="C10" s="3" t="s">
        <v>6</v>
      </c>
      <c r="D10" s="2" t="s">
        <v>7</v>
      </c>
      <c r="E10" s="4" t="s">
        <v>2</v>
      </c>
      <c r="F10" s="21" t="s">
        <v>8</v>
      </c>
      <c r="G10" s="21" t="s">
        <v>10</v>
      </c>
      <c r="H10" s="22" t="s">
        <v>9</v>
      </c>
    </row>
    <row r="11" spans="1:10" x14ac:dyDescent="0.45">
      <c r="A11" s="10" t="s">
        <v>3</v>
      </c>
      <c r="B11" s="5">
        <f>18394.84/3</f>
        <v>6131.6133333333337</v>
      </c>
      <c r="C11" s="6"/>
      <c r="D11" s="5">
        <v>0.7</v>
      </c>
      <c r="E11" s="6">
        <v>6132.1379999999999</v>
      </c>
      <c r="F11" s="23">
        <v>3</v>
      </c>
      <c r="G11" s="23">
        <v>0.15</v>
      </c>
      <c r="H11" s="24">
        <v>5876.1440000000002</v>
      </c>
    </row>
    <row r="12" spans="1:10" x14ac:dyDescent="0.45">
      <c r="A12" s="10">
        <v>0.25</v>
      </c>
      <c r="B12" s="5">
        <v>6131.8180000000002</v>
      </c>
      <c r="C12" s="6"/>
      <c r="D12" s="5">
        <v>0.5</v>
      </c>
      <c r="E12" s="6">
        <v>6070.8680000000004</v>
      </c>
      <c r="F12" s="23">
        <v>1.5</v>
      </c>
      <c r="G12" s="23">
        <v>1</v>
      </c>
      <c r="H12" s="24">
        <v>5908.5360000000001</v>
      </c>
    </row>
    <row r="13" spans="1:10" x14ac:dyDescent="0.45">
      <c r="A13" s="10">
        <v>0.5</v>
      </c>
      <c r="B13" s="5">
        <v>6132.1379999999999</v>
      </c>
      <c r="C13" s="6"/>
      <c r="D13" s="5">
        <v>0.4</v>
      </c>
      <c r="E13" s="6">
        <v>6037.4110000000001</v>
      </c>
      <c r="F13" s="23"/>
      <c r="G13" s="23"/>
      <c r="H13" s="24"/>
    </row>
    <row r="14" spans="1:10" x14ac:dyDescent="0.45">
      <c r="A14" s="10">
        <v>0.75</v>
      </c>
      <c r="B14" s="5">
        <v>6132.4279999999999</v>
      </c>
      <c r="C14" s="6"/>
      <c r="D14" s="5">
        <v>0.3</v>
      </c>
      <c r="E14" s="6">
        <v>6001.4350000000004</v>
      </c>
      <c r="F14" s="23"/>
      <c r="G14" s="23"/>
      <c r="H14" s="24"/>
    </row>
    <row r="15" spans="1:10" x14ac:dyDescent="0.45">
      <c r="A15" s="12">
        <v>1</v>
      </c>
      <c r="B15" s="13">
        <v>6132.7820000000002</v>
      </c>
      <c r="C15" s="14"/>
      <c r="D15" s="13">
        <v>0.2</v>
      </c>
      <c r="E15" s="14">
        <v>5962.2539999999999</v>
      </c>
      <c r="F15" s="25"/>
      <c r="G15" s="25"/>
      <c r="H15" s="26"/>
    </row>
    <row r="17" spans="1:8" x14ac:dyDescent="0.45">
      <c r="A17" s="17" t="s">
        <v>12</v>
      </c>
      <c r="B17" s="18"/>
      <c r="C17" s="18"/>
      <c r="D17" s="18"/>
      <c r="E17" s="18"/>
      <c r="F17" s="18"/>
      <c r="G17" s="18"/>
      <c r="H17" s="19"/>
    </row>
    <row r="18" spans="1:8" x14ac:dyDescent="0.45">
      <c r="A18" s="9" t="s">
        <v>1</v>
      </c>
      <c r="B18" s="1" t="s">
        <v>2</v>
      </c>
      <c r="C18" s="3" t="s">
        <v>6</v>
      </c>
      <c r="D18" s="2" t="s">
        <v>7</v>
      </c>
      <c r="E18" s="4" t="s">
        <v>2</v>
      </c>
      <c r="F18" s="2" t="s">
        <v>8</v>
      </c>
      <c r="G18" s="2" t="s">
        <v>10</v>
      </c>
      <c r="H18" s="3" t="s">
        <v>9</v>
      </c>
    </row>
    <row r="19" spans="1:8" x14ac:dyDescent="0.45">
      <c r="A19" s="10" t="s">
        <v>3</v>
      </c>
      <c r="B19" s="5">
        <f>18394.84/3</f>
        <v>6131.6133333333337</v>
      </c>
      <c r="C19" s="6"/>
      <c r="D19" s="5">
        <v>0.7</v>
      </c>
      <c r="E19" s="20">
        <v>6130.7489999999998</v>
      </c>
      <c r="F19" s="5">
        <v>3</v>
      </c>
      <c r="G19" s="5">
        <v>0.15</v>
      </c>
      <c r="H19" s="6">
        <v>5876.1409999999996</v>
      </c>
    </row>
    <row r="20" spans="1:8" x14ac:dyDescent="0.45">
      <c r="A20" s="10">
        <v>0.25</v>
      </c>
      <c r="B20" s="5">
        <v>6131.7160000000003</v>
      </c>
      <c r="C20" s="6"/>
      <c r="D20" s="5">
        <v>0.5</v>
      </c>
      <c r="E20" s="6">
        <v>6069.49</v>
      </c>
      <c r="F20" s="5">
        <v>1.5</v>
      </c>
      <c r="G20" s="5">
        <v>1</v>
      </c>
      <c r="H20" s="6">
        <v>5908.5330000000004</v>
      </c>
    </row>
    <row r="21" spans="1:8" x14ac:dyDescent="0.45">
      <c r="A21" s="10">
        <v>0.5</v>
      </c>
      <c r="B21" s="5">
        <v>6130.7489999999998</v>
      </c>
      <c r="C21" s="6"/>
      <c r="D21" s="5">
        <v>0.4</v>
      </c>
      <c r="E21" s="6">
        <v>6036.0379999999996</v>
      </c>
      <c r="F21" s="5"/>
      <c r="G21" s="5"/>
      <c r="H21" s="6"/>
    </row>
    <row r="22" spans="1:8" x14ac:dyDescent="0.45">
      <c r="A22" s="10">
        <v>0.75</v>
      </c>
      <c r="B22" s="5">
        <v>6129.45</v>
      </c>
      <c r="C22" s="6"/>
      <c r="D22" s="5">
        <v>0.3</v>
      </c>
      <c r="E22" s="6">
        <v>6000.0720000000001</v>
      </c>
      <c r="F22" s="5"/>
      <c r="G22" s="5"/>
      <c r="H22" s="6"/>
    </row>
    <row r="23" spans="1:8" x14ac:dyDescent="0.45">
      <c r="A23" s="12">
        <v>1</v>
      </c>
      <c r="B23" s="13">
        <v>6128.2489999999998</v>
      </c>
      <c r="C23" s="14"/>
      <c r="D23" s="13">
        <v>0.2</v>
      </c>
      <c r="E23" s="14">
        <v>5960.8990000000003</v>
      </c>
      <c r="F23" s="13"/>
      <c r="G23" s="13"/>
      <c r="H23" s="14"/>
    </row>
  </sheetData>
  <mergeCells count="3">
    <mergeCell ref="A1:H1"/>
    <mergeCell ref="A9:H9"/>
    <mergeCell ref="A17:H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Anahita Darvish</dc:creator>
  <cp:lastModifiedBy>Anahita Darvish</cp:lastModifiedBy>
  <dcterms:created xsi:type="dcterms:W3CDTF">2025-11-20T07:50:17Z</dcterms:created>
  <dcterms:modified xsi:type="dcterms:W3CDTF">2025-11-21T09:18:40Z</dcterms:modified>
</cp:coreProperties>
</file>